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基础信息</t>
        </is>
      </c>
      <c r="D1" t="inlineStr">
        <is>
          <t>销售数据</t>
        </is>
      </c>
      <c r="G1" t="inlineStr">
        <is>
          <t>成本数据</t>
        </is>
      </c>
      <c r="I1" t="inlineStr">
        <is>
          <t>利润</t>
        </is>
      </c>
    </row>
    <row r="2">
      <c r="A2" t="inlineStr">
        <is>
          <t>店铺</t>
        </is>
      </c>
      <c r="B2" t="inlineStr">
        <is>
          <t>平台</t>
        </is>
      </c>
      <c r="C2" t="inlineStr">
        <is>
          <t>运营</t>
        </is>
      </c>
      <c r="D2" t="inlineStr">
        <is>
          <t>订单数</t>
        </is>
      </c>
      <c r="E2" t="inlineStr">
        <is>
          <t>销售额</t>
        </is>
      </c>
      <c r="F2" t="inlineStr">
        <is>
          <t>客单价</t>
        </is>
      </c>
      <c r="G2" t="inlineStr">
        <is>
          <t>商品成本</t>
        </is>
      </c>
      <c r="H2" t="inlineStr">
        <is>
          <t>运费成本</t>
        </is>
      </c>
      <c r="I2" t="inlineStr">
        <is>
          <t>毛利</t>
        </is>
      </c>
      <c r="J2" t="inlineStr">
        <is>
          <t>毛利率</t>
        </is>
      </c>
    </row>
    <row r="3">
      <c r="A3" t="inlineStr">
        <is>
          <t>白桃汽水杂货铺</t>
        </is>
      </c>
      <c r="B3" t="inlineStr">
        <is>
          <t>拼多多</t>
        </is>
      </c>
      <c r="C3" t="inlineStr">
        <is>
          <t>徐萌</t>
        </is>
      </c>
      <c r="D3" t="n">
        <v>2429</v>
      </c>
      <c r="E3" t="n">
        <v>62996.21</v>
      </c>
      <c r="F3" t="n">
        <v>25.94</v>
      </c>
      <c r="G3" t="n">
        <v>22033.45</v>
      </c>
      <c r="H3" t="n">
        <v>10322.55</v>
      </c>
      <c r="I3" t="n">
        <v>30640.21</v>
      </c>
      <c r="J3" t="inlineStr">
        <is>
          <t>48.6%</t>
        </is>
      </c>
    </row>
    <row r="4">
      <c r="A4" t="inlineStr">
        <is>
          <t>咕噜少女girl</t>
        </is>
      </c>
      <c r="B4" t="inlineStr">
        <is>
          <t>拼多多</t>
        </is>
      </c>
      <c r="C4" t="inlineStr">
        <is>
          <t>唐华兵</t>
        </is>
      </c>
      <c r="D4" t="n">
        <v>3889</v>
      </c>
      <c r="E4" t="n">
        <v>126346.95</v>
      </c>
      <c r="F4" t="n">
        <v>32.49</v>
      </c>
      <c r="G4" t="n">
        <v>30526.87</v>
      </c>
      <c r="H4" t="n">
        <v>17365.28</v>
      </c>
      <c r="I4" t="n">
        <v>78454.8</v>
      </c>
      <c r="J4" t="inlineStr">
        <is>
          <t>62.1%</t>
        </is>
      </c>
    </row>
    <row r="5">
      <c r="A5" t="inlineStr">
        <is>
          <t>小名龙傲天</t>
        </is>
      </c>
      <c r="B5" t="inlineStr">
        <is>
          <t>拼多多</t>
        </is>
      </c>
      <c r="C5" t="inlineStr">
        <is>
          <t>徐萌</t>
        </is>
      </c>
      <c r="D5" t="n">
        <v>4903</v>
      </c>
      <c r="E5" t="n">
        <v>135586.17</v>
      </c>
      <c r="F5" t="n">
        <v>27.65</v>
      </c>
      <c r="G5" t="n">
        <v>50445.85</v>
      </c>
      <c r="H5" t="n">
        <v>24031.19</v>
      </c>
      <c r="I5" t="n">
        <v>61109.13</v>
      </c>
      <c r="J5" t="inlineStr">
        <is>
          <t>45.1%</t>
        </is>
      </c>
    </row>
    <row r="6">
      <c r="A6" t="inlineStr">
        <is>
          <t>校长阿姨</t>
        </is>
      </c>
      <c r="B6" t="inlineStr">
        <is>
          <t>拼多多</t>
        </is>
      </c>
      <c r="C6" t="inlineStr">
        <is>
          <t>冯璐璐</t>
        </is>
      </c>
      <c r="D6" t="n">
        <v>477</v>
      </c>
      <c r="E6" t="n">
        <v>11064.69</v>
      </c>
      <c r="F6" t="n">
        <v>23.2</v>
      </c>
      <c r="G6" t="n">
        <v>3885.83</v>
      </c>
      <c r="H6" t="n">
        <v>1333.38</v>
      </c>
      <c r="I6" t="n">
        <v>5845.48</v>
      </c>
      <c r="J6" t="inlineStr">
        <is>
          <t>52.8%</t>
        </is>
      </c>
    </row>
    <row r="7">
      <c r="A7" t="inlineStr">
        <is>
          <t>快乐的小癫子</t>
        </is>
      </c>
      <c r="B7" t="inlineStr">
        <is>
          <t>淘宝</t>
        </is>
      </c>
      <c r="C7" t="inlineStr">
        <is>
          <t>冯璐璐</t>
        </is>
      </c>
      <c r="D7" t="n">
        <v>1210</v>
      </c>
      <c r="E7" t="n">
        <v>34683.69</v>
      </c>
      <c r="F7" t="n">
        <v>28.66</v>
      </c>
      <c r="G7" t="n">
        <v>11706.43</v>
      </c>
      <c r="H7" t="n">
        <v>5258.17</v>
      </c>
      <c r="I7" t="n">
        <v>17719.09</v>
      </c>
      <c r="J7" t="inlineStr">
        <is>
          <t>51.1%</t>
        </is>
      </c>
    </row>
    <row r="8">
      <c r="A8" t="inlineStr">
        <is>
          <t>醒醒该上学了</t>
        </is>
      </c>
      <c r="B8" t="inlineStr">
        <is>
          <t>淘宝</t>
        </is>
      </c>
      <c r="C8" t="inlineStr">
        <is>
          <t>傅俊杰</t>
        </is>
      </c>
      <c r="D8" t="n">
        <v>3431</v>
      </c>
      <c r="E8" t="n">
        <v>115618.19</v>
      </c>
      <c r="F8" t="n">
        <v>33.7</v>
      </c>
      <c r="G8" t="n">
        <v>29351.09</v>
      </c>
      <c r="H8" t="n">
        <v>7654.02</v>
      </c>
      <c r="I8" t="n">
        <v>78613.08</v>
      </c>
      <c r="J8" t="inlineStr">
        <is>
          <t>68.0%</t>
        </is>
      </c>
    </row>
    <row r="9">
      <c r="A9" t="inlineStr">
        <is>
          <t>Pinkpig未打烊</t>
        </is>
      </c>
      <c r="B9" t="inlineStr">
        <is>
          <t>淘宝</t>
        </is>
      </c>
      <c r="C9" t="inlineStr">
        <is>
          <t>冯璐璐</t>
        </is>
      </c>
      <c r="D9" t="n">
        <v>2573</v>
      </c>
      <c r="E9" t="n">
        <v>97209.91</v>
      </c>
      <c r="F9" t="n">
        <v>37.78</v>
      </c>
      <c r="G9" t="n">
        <v>38246.09</v>
      </c>
      <c r="H9" t="n">
        <v>10707.95</v>
      </c>
      <c r="I9" t="n">
        <v>48255.87</v>
      </c>
      <c r="J9" t="inlineStr">
        <is>
          <t>49.6%</t>
        </is>
      </c>
    </row>
    <row r="10">
      <c r="A10" t="inlineStr">
        <is>
          <t>知音少女</t>
        </is>
      </c>
      <c r="B10" t="inlineStr">
        <is>
          <t>抖音</t>
        </is>
      </c>
      <c r="C10" t="inlineStr">
        <is>
          <t>张宇兰</t>
        </is>
      </c>
      <c r="D10" t="n">
        <v>4968</v>
      </c>
      <c r="E10" t="n">
        <v>240569.07</v>
      </c>
      <c r="F10" t="n">
        <v>48.42</v>
      </c>
      <c r="G10" t="n">
        <v>91923.83</v>
      </c>
      <c r="H10" t="n">
        <v>17589.93</v>
      </c>
      <c r="I10" t="n">
        <v>131055.31</v>
      </c>
      <c r="J10" t="inlineStr">
        <is>
          <t>54.5%</t>
        </is>
      </c>
    </row>
    <row r="11">
      <c r="A11" t="inlineStr">
        <is>
          <t>修狗乌托邦</t>
        </is>
      </c>
      <c r="B11" t="inlineStr">
        <is>
          <t>抖音</t>
        </is>
      </c>
      <c r="C11" t="inlineStr">
        <is>
          <t>冯璐璐</t>
        </is>
      </c>
      <c r="D11" t="n">
        <v>3505</v>
      </c>
      <c r="E11" t="n">
        <v>54061.48</v>
      </c>
      <c r="F11" t="n">
        <v>15.42</v>
      </c>
      <c r="G11" t="n">
        <v>11393.89</v>
      </c>
      <c r="H11" t="n">
        <v>13886.72</v>
      </c>
      <c r="I11" t="n">
        <v>28780.87</v>
      </c>
      <c r="J11" t="inlineStr">
        <is>
          <t>53.2%</t>
        </is>
      </c>
    </row>
    <row r="12">
      <c r="A12" t="inlineStr">
        <is>
          <t>蓝恩集美优品</t>
        </is>
      </c>
      <c r="B12" t="inlineStr">
        <is>
          <t>京东</t>
        </is>
      </c>
      <c r="C12" t="inlineStr">
        <is>
          <t>冯璐璐</t>
        </is>
      </c>
      <c r="D12" t="n">
        <v>704</v>
      </c>
      <c r="E12" t="n">
        <v>18606.42</v>
      </c>
      <c r="F12" t="n">
        <v>26.43</v>
      </c>
      <c r="G12" t="n">
        <v>5638.13</v>
      </c>
      <c r="H12" t="n">
        <v>2627.36</v>
      </c>
      <c r="I12" t="n">
        <v>10340.93</v>
      </c>
      <c r="J12" t="inlineStr">
        <is>
          <t>55.6%</t>
        </is>
      </c>
    </row>
    <row r="13">
      <c r="A13" t="inlineStr">
        <is>
          <t>合计</t>
        </is>
      </c>
      <c r="D13">
        <f>SUM(D3:D12)</f>
        <v/>
      </c>
      <c r="E13">
        <f>SUM(E3:E12)</f>
        <v/>
      </c>
      <c r="G13">
        <f>SUM(G3:G12)</f>
        <v/>
      </c>
      <c r="H13">
        <f>SUM(H3:H12)</f>
        <v/>
      </c>
      <c r="I13">
        <f>SUM(I3:I12)</f>
        <v/>
      </c>
    </row>
  </sheetData>
  <mergeCells count="3">
    <mergeCell ref="A1:C1"/>
    <mergeCell ref="D1:F1"/>
    <mergeCell ref="G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2026-05-16T07:22:10Z</dcterms:created>
  <dcterms:modified xmlns:dcterms="http://purl.org/dc/terms/" xmlns:xsi="http://www.w3.org/2001/XMLSchema-instance" xsi:type="dcterms:W3CDTF">2026-05-16T07:22:10Z</dcterms:modified>
</cp:coreProperties>
</file>