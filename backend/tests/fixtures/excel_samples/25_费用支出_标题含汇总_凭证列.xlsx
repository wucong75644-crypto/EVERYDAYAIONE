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支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26年4月份费用支出流水日记账</t>
        </is>
      </c>
      <c r="L1" t="inlineStr">
        <is>
          <t>支出汇总</t>
        </is>
      </c>
      <c r="M1" t="n">
        <v>1342458.65</v>
      </c>
    </row>
    <row r="2">
      <c r="A2" t="inlineStr">
        <is>
          <t>序号</t>
        </is>
      </c>
      <c r="B2" t="inlineStr">
        <is>
          <t>日期</t>
        </is>
      </c>
      <c r="C2" t="inlineStr">
        <is>
          <t>部门</t>
        </is>
      </c>
      <c r="D2" t="inlineStr">
        <is>
          <t>摘要</t>
        </is>
      </c>
      <c r="E2" t="inlineStr">
        <is>
          <t>供应商编码</t>
        </is>
      </c>
      <c r="F2" t="inlineStr">
        <is>
          <t>科目（借）</t>
        </is>
      </c>
      <c r="G2" t="inlineStr">
        <is>
          <t>二级科目</t>
        </is>
      </c>
      <c r="H2" t="inlineStr">
        <is>
          <t>金额</t>
        </is>
      </c>
      <c r="I2" t="inlineStr">
        <is>
          <t>支出账户</t>
        </is>
      </c>
      <c r="J2" t="inlineStr">
        <is>
          <t>凭证</t>
        </is>
      </c>
      <c r="K2" t="inlineStr">
        <is>
          <t>凭证</t>
        </is>
      </c>
      <c r="L2" t="inlineStr">
        <is>
          <t>凭证</t>
        </is>
      </c>
      <c r="M2" t="inlineStr">
        <is>
          <t>凭证</t>
        </is>
      </c>
      <c r="N2" t="inlineStr">
        <is>
          <t>凭证</t>
        </is>
      </c>
      <c r="O2" t="inlineStr">
        <is>
          <t>备注</t>
        </is>
      </c>
    </row>
    <row r="3">
      <c r="A3" t="n">
        <v>34</v>
      </c>
      <c r="B3" s="1" t="n">
        <v>46094</v>
      </c>
      <c r="C3" t="inlineStr">
        <is>
          <t>行政部</t>
        </is>
      </c>
      <c r="D3" t="inlineStr">
        <is>
          <t>供应商0004货款</t>
        </is>
      </c>
      <c r="F3" t="inlineStr">
        <is>
          <t>应付账款</t>
        </is>
      </c>
      <c r="G3" t="inlineStr">
        <is>
          <t>月结货款</t>
        </is>
      </c>
      <c r="H3" t="n">
        <v>49027.31</v>
      </c>
      <c r="I3" t="inlineStr">
        <is>
          <t>夏总-创飞支付</t>
        </is>
      </c>
      <c r="J3">
        <f>DISPIMG("ID_021CCE7F",1)</f>
        <v/>
      </c>
    </row>
    <row r="4">
      <c r="A4" t="n">
        <v>35</v>
      </c>
      <c r="B4" s="1" t="n">
        <v>46113</v>
      </c>
      <c r="C4" t="inlineStr">
        <is>
          <t>财务部</t>
        </is>
      </c>
      <c r="D4" t="inlineStr">
        <is>
          <t>供应商0004货款</t>
        </is>
      </c>
      <c r="E4" t="inlineStr">
        <is>
          <t>0763</t>
        </is>
      </c>
      <c r="F4" t="inlineStr">
        <is>
          <t>销售费用</t>
        </is>
      </c>
      <c r="G4" t="inlineStr">
        <is>
          <t>侵权赔偿</t>
        </is>
      </c>
      <c r="H4" t="n">
        <v>26857.99</v>
      </c>
      <c r="I4" t="inlineStr">
        <is>
          <t>陈总支付</t>
        </is>
      </c>
    </row>
    <row r="5">
      <c r="A5" t="n">
        <v>36</v>
      </c>
      <c r="B5" s="1" t="n">
        <v>46113</v>
      </c>
      <c r="C5" t="inlineStr">
        <is>
          <t>仓储部</t>
        </is>
      </c>
      <c r="D5" t="inlineStr">
        <is>
          <t>供应商0040货款</t>
        </is>
      </c>
      <c r="F5" t="inlineStr">
        <is>
          <t>应付账款</t>
        </is>
      </c>
      <c r="G5" t="inlineStr">
        <is>
          <t>现结货款</t>
        </is>
      </c>
      <c r="H5" t="n">
        <v>94596.25</v>
      </c>
      <c r="I5" t="inlineStr">
        <is>
          <t>夏总-创飞支付</t>
        </is>
      </c>
      <c r="J5">
        <f>DISPIMG("ID_05DCE391",1)</f>
        <v/>
      </c>
    </row>
    <row r="6">
      <c r="A6" t="n">
        <v>37</v>
      </c>
      <c r="B6" s="1" t="n">
        <v>46133</v>
      </c>
      <c r="C6" t="inlineStr">
        <is>
          <t>仓储部</t>
        </is>
      </c>
      <c r="D6" t="inlineStr">
        <is>
          <t>供应商0035货款</t>
        </is>
      </c>
      <c r="F6" t="inlineStr">
        <is>
          <t>应付账款</t>
        </is>
      </c>
      <c r="G6" t="inlineStr">
        <is>
          <t>现结货款</t>
        </is>
      </c>
      <c r="H6" t="n">
        <v>43263.06</v>
      </c>
      <c r="I6" t="inlineStr">
        <is>
          <t>公户支付</t>
        </is>
      </c>
      <c r="J6">
        <f>DISPIMG("ID_05B7EA44",1)</f>
        <v/>
      </c>
    </row>
    <row r="7">
      <c r="A7" t="n">
        <v>38</v>
      </c>
      <c r="B7" s="1" t="n">
        <v>46120</v>
      </c>
      <c r="C7" t="inlineStr">
        <is>
          <t>采购部</t>
        </is>
      </c>
      <c r="D7" t="inlineStr">
        <is>
          <t>供应商0154货款</t>
        </is>
      </c>
      <c r="F7" t="inlineStr">
        <is>
          <t>应付账款</t>
        </is>
      </c>
      <c r="G7" t="inlineStr">
        <is>
          <t>现结货款</t>
        </is>
      </c>
      <c r="H7" t="n">
        <v>54022.25</v>
      </c>
      <c r="I7" t="inlineStr">
        <is>
          <t>吴总支付</t>
        </is>
      </c>
    </row>
    <row r="8">
      <c r="A8" t="n">
        <v>39</v>
      </c>
      <c r="B8" s="1" t="n">
        <v>46128</v>
      </c>
      <c r="C8" t="inlineStr">
        <is>
          <t>财务部</t>
        </is>
      </c>
      <c r="D8" t="inlineStr">
        <is>
          <t>供应商0012货款</t>
        </is>
      </c>
      <c r="F8" t="inlineStr">
        <is>
          <t>管理费用</t>
        </is>
      </c>
      <c r="G8" t="inlineStr">
        <is>
          <t>办公费</t>
        </is>
      </c>
      <c r="H8" t="n">
        <v>29599.29</v>
      </c>
      <c r="I8" t="inlineStr">
        <is>
          <t>陈总支付</t>
        </is>
      </c>
      <c r="J8">
        <f>DISPIMG("ID_02881B34",1)</f>
        <v/>
      </c>
    </row>
    <row r="9">
      <c r="A9" t="n">
        <v>40</v>
      </c>
      <c r="B9" s="1" t="n">
        <v>46106</v>
      </c>
      <c r="C9" t="inlineStr">
        <is>
          <t>行政部</t>
        </is>
      </c>
      <c r="D9" t="inlineStr">
        <is>
          <t>供应商0109货款</t>
        </is>
      </c>
      <c r="F9" t="inlineStr">
        <is>
          <t>应付账款</t>
        </is>
      </c>
      <c r="G9" t="inlineStr">
        <is>
          <t>现结货款</t>
        </is>
      </c>
      <c r="H9" t="n">
        <v>8774.42</v>
      </c>
      <c r="I9" t="inlineStr">
        <is>
          <t>陈总支付</t>
        </is>
      </c>
      <c r="J9">
        <f>DISPIMG("ID_024A0550",1)</f>
        <v/>
      </c>
    </row>
    <row r="10">
      <c r="A10" t="n">
        <v>41</v>
      </c>
      <c r="B10" s="1" t="n">
        <v>46142</v>
      </c>
      <c r="C10" t="inlineStr">
        <is>
          <t>仓储部</t>
        </is>
      </c>
      <c r="D10" t="inlineStr">
        <is>
          <t>供应商0002货款</t>
        </is>
      </c>
      <c r="E10" t="inlineStr">
        <is>
          <t>0957</t>
        </is>
      </c>
      <c r="F10" t="inlineStr">
        <is>
          <t>应付账款</t>
        </is>
      </c>
      <c r="G10" t="inlineStr">
        <is>
          <t>月结货款</t>
        </is>
      </c>
      <c r="H10" t="n">
        <v>24154.56</v>
      </c>
      <c r="I10" t="inlineStr">
        <is>
          <t>陈总支付</t>
        </is>
      </c>
      <c r="J10">
        <f>DISPIMG("ID_04B0BE33",1)</f>
        <v/>
      </c>
    </row>
    <row r="11">
      <c r="A11" t="n">
        <v>42</v>
      </c>
      <c r="B11" s="1" t="n">
        <v>46102</v>
      </c>
      <c r="C11" t="inlineStr">
        <is>
          <t>仓储部</t>
        </is>
      </c>
      <c r="D11" t="inlineStr">
        <is>
          <t>供应商0091货款</t>
        </is>
      </c>
      <c r="E11" t="inlineStr">
        <is>
          <t>0437</t>
        </is>
      </c>
      <c r="F11" t="inlineStr">
        <is>
          <t>应付账款</t>
        </is>
      </c>
      <c r="G11" t="inlineStr">
        <is>
          <t>月结货款</t>
        </is>
      </c>
      <c r="H11" t="n">
        <v>59327.64</v>
      </c>
      <c r="I11" t="inlineStr">
        <is>
          <t>公户支付</t>
        </is>
      </c>
      <c r="J11">
        <f>DISPIMG("ID_02297B5D",1)</f>
        <v/>
      </c>
    </row>
    <row r="12">
      <c r="A12" t="n">
        <v>43</v>
      </c>
      <c r="B12" s="1" t="n">
        <v>46124</v>
      </c>
      <c r="C12" t="inlineStr">
        <is>
          <t>行政部</t>
        </is>
      </c>
      <c r="D12" t="inlineStr">
        <is>
          <t>供应商0022货款</t>
        </is>
      </c>
      <c r="E12" t="inlineStr">
        <is>
          <t>0614</t>
        </is>
      </c>
      <c r="F12" t="inlineStr">
        <is>
          <t>管理费用</t>
        </is>
      </c>
      <c r="G12" t="inlineStr">
        <is>
          <t>办公费</t>
        </is>
      </c>
      <c r="H12" t="n">
        <v>81046.19</v>
      </c>
      <c r="I12" t="inlineStr">
        <is>
          <t>公户支付</t>
        </is>
      </c>
    </row>
    <row r="13">
      <c r="A13" t="n">
        <v>44</v>
      </c>
      <c r="B13" s="1" t="n">
        <v>46092</v>
      </c>
      <c r="C13" t="inlineStr">
        <is>
          <t>行政部</t>
        </is>
      </c>
      <c r="D13" t="inlineStr">
        <is>
          <t>供应商0056货款</t>
        </is>
      </c>
      <c r="E13" t="inlineStr">
        <is>
          <t>0423</t>
        </is>
      </c>
      <c r="F13" t="inlineStr">
        <is>
          <t>应付账款</t>
        </is>
      </c>
      <c r="G13" t="inlineStr">
        <is>
          <t>现结货款</t>
        </is>
      </c>
      <c r="H13" t="n">
        <v>90994.69</v>
      </c>
      <c r="I13" t="inlineStr">
        <is>
          <t>夏总-创飞支付</t>
        </is>
      </c>
      <c r="J13">
        <f>DISPIMG("ID_01DFDC52",1)</f>
        <v/>
      </c>
    </row>
    <row r="14">
      <c r="A14" t="n">
        <v>45</v>
      </c>
      <c r="B14" s="1" t="n">
        <v>46109</v>
      </c>
      <c r="C14" t="inlineStr">
        <is>
          <t>运营部</t>
        </is>
      </c>
      <c r="D14" t="inlineStr">
        <is>
          <t>供应商0106货款</t>
        </is>
      </c>
      <c r="F14" t="inlineStr">
        <is>
          <t>管理费用</t>
        </is>
      </c>
      <c r="G14" t="inlineStr">
        <is>
          <t>办公费</t>
        </is>
      </c>
      <c r="H14" t="n">
        <v>79698.25</v>
      </c>
      <c r="I14" t="inlineStr">
        <is>
          <t>夏总-创飞支付</t>
        </is>
      </c>
    </row>
    <row r="15">
      <c r="A15" t="n">
        <v>46</v>
      </c>
      <c r="B15" s="1" t="n">
        <v>46140</v>
      </c>
      <c r="C15" t="inlineStr">
        <is>
          <t>运营部</t>
        </is>
      </c>
      <c r="D15" t="inlineStr">
        <is>
          <t>供应商0137货款</t>
        </is>
      </c>
      <c r="F15" t="inlineStr">
        <is>
          <t>应付账款</t>
        </is>
      </c>
      <c r="G15" t="inlineStr">
        <is>
          <t>月结货款</t>
        </is>
      </c>
      <c r="H15" t="n">
        <v>7763.5</v>
      </c>
      <c r="I15" t="inlineStr">
        <is>
          <t>陈总支付</t>
        </is>
      </c>
      <c r="J15">
        <f>DISPIMG("ID_05B2FA6A",1)</f>
        <v/>
      </c>
    </row>
    <row r="16">
      <c r="A16" t="n">
        <v>47</v>
      </c>
      <c r="B16" s="1" t="n">
        <v>46125</v>
      </c>
      <c r="C16" t="inlineStr">
        <is>
          <t>采购部</t>
        </is>
      </c>
      <c r="D16" t="inlineStr">
        <is>
          <t>供应商0002货款</t>
        </is>
      </c>
      <c r="F16" t="inlineStr">
        <is>
          <t>管理费用</t>
        </is>
      </c>
      <c r="G16" t="inlineStr">
        <is>
          <t>办公费</t>
        </is>
      </c>
      <c r="H16" t="n">
        <v>37863.47</v>
      </c>
      <c r="I16" t="inlineStr">
        <is>
          <t>夏总-创飞支付</t>
        </is>
      </c>
      <c r="J16">
        <f>DISPIMG("ID_020C2F07",1)</f>
        <v/>
      </c>
    </row>
    <row r="17">
      <c r="A17" t="n">
        <v>48</v>
      </c>
      <c r="B17" s="1" t="n">
        <v>46117</v>
      </c>
      <c r="C17" t="inlineStr">
        <is>
          <t>采购部</t>
        </is>
      </c>
      <c r="D17" t="inlineStr">
        <is>
          <t>供应商0170货款</t>
        </is>
      </c>
      <c r="F17" t="inlineStr">
        <is>
          <t>应付账款</t>
        </is>
      </c>
      <c r="G17" t="inlineStr">
        <is>
          <t>月结货款</t>
        </is>
      </c>
      <c r="H17" t="n">
        <v>22600.57</v>
      </c>
      <c r="I17" t="inlineStr">
        <is>
          <t>夏总-创飞支付</t>
        </is>
      </c>
      <c r="J17">
        <f>DISPIMG("ID_01D5620C",1)</f>
        <v/>
      </c>
    </row>
    <row r="18">
      <c r="A18" t="n">
        <v>49</v>
      </c>
      <c r="B18" s="1" t="n">
        <v>46091</v>
      </c>
      <c r="C18" t="inlineStr">
        <is>
          <t>仓储部</t>
        </is>
      </c>
      <c r="D18" t="inlineStr">
        <is>
          <t>供应商0056货款</t>
        </is>
      </c>
      <c r="E18" t="inlineStr">
        <is>
          <t>0775</t>
        </is>
      </c>
      <c r="F18" t="inlineStr">
        <is>
          <t>应付账款</t>
        </is>
      </c>
      <c r="G18" t="inlineStr">
        <is>
          <t>现结货款</t>
        </is>
      </c>
      <c r="H18" t="n">
        <v>15292.55</v>
      </c>
      <c r="I18" t="inlineStr">
        <is>
          <t>公户支付</t>
        </is>
      </c>
      <c r="J18">
        <f>DISPIMG("ID_02C30344",1)</f>
        <v/>
      </c>
    </row>
    <row r="19">
      <c r="A19" t="n">
        <v>50</v>
      </c>
      <c r="B19" s="1" t="n">
        <v>46123</v>
      </c>
      <c r="C19" t="inlineStr">
        <is>
          <t>行政部</t>
        </is>
      </c>
      <c r="D19" t="inlineStr">
        <is>
          <t>供应商0088货款</t>
        </is>
      </c>
      <c r="F19" t="inlineStr">
        <is>
          <t>应付账款</t>
        </is>
      </c>
      <c r="G19" t="inlineStr">
        <is>
          <t>现结货款</t>
        </is>
      </c>
      <c r="H19" t="n">
        <v>41129.92</v>
      </c>
      <c r="I19" t="inlineStr">
        <is>
          <t>吴总支付</t>
        </is>
      </c>
      <c r="J19">
        <f>DISPIMG("ID_05797149",1)</f>
        <v/>
      </c>
    </row>
    <row r="20">
      <c r="A20" t="n">
        <v>51</v>
      </c>
      <c r="B20" s="1" t="n">
        <v>46102</v>
      </c>
      <c r="C20" t="inlineStr">
        <is>
          <t>运营部</t>
        </is>
      </c>
      <c r="D20" t="inlineStr">
        <is>
          <t>供应商0113货款</t>
        </is>
      </c>
      <c r="E20" t="inlineStr">
        <is>
          <t>0491</t>
        </is>
      </c>
      <c r="F20" t="inlineStr">
        <is>
          <t>销售费用</t>
        </is>
      </c>
      <c r="G20" t="inlineStr">
        <is>
          <t>侵权赔偿</t>
        </is>
      </c>
      <c r="H20" t="n">
        <v>59214.86</v>
      </c>
      <c r="I20" t="inlineStr">
        <is>
          <t>公户支付</t>
        </is>
      </c>
      <c r="J20">
        <f>DISPIMG("ID_009D589F",1)</f>
        <v/>
      </c>
    </row>
    <row r="21">
      <c r="A21" t="n">
        <v>52</v>
      </c>
      <c r="B21" s="1" t="n">
        <v>46138</v>
      </c>
      <c r="C21" t="inlineStr">
        <is>
          <t>仓储部</t>
        </is>
      </c>
      <c r="D21" t="inlineStr">
        <is>
          <t>供应商0141货款</t>
        </is>
      </c>
      <c r="F21" t="inlineStr">
        <is>
          <t>管理费用</t>
        </is>
      </c>
      <c r="G21" t="inlineStr">
        <is>
          <t>办公费</t>
        </is>
      </c>
      <c r="H21" t="n">
        <v>62386.81</v>
      </c>
      <c r="I21" t="inlineStr">
        <is>
          <t>公户支付</t>
        </is>
      </c>
      <c r="J21">
        <f>DISPIMG("ID_0416736F",1)</f>
        <v/>
      </c>
    </row>
    <row r="22">
      <c r="A22" t="n">
        <v>53</v>
      </c>
      <c r="B22" s="1" t="n">
        <v>46083</v>
      </c>
      <c r="C22" t="inlineStr">
        <is>
          <t>行政部</t>
        </is>
      </c>
      <c r="D22" t="inlineStr">
        <is>
          <t>供应商0149货款</t>
        </is>
      </c>
      <c r="F22" t="inlineStr">
        <is>
          <t>管理费用</t>
        </is>
      </c>
      <c r="G22" t="inlineStr">
        <is>
          <t>办公费</t>
        </is>
      </c>
      <c r="H22" t="n">
        <v>65273.67</v>
      </c>
      <c r="I22" t="inlineStr">
        <is>
          <t>夏总-创飞支付</t>
        </is>
      </c>
      <c r="J22">
        <f>DISPIMG("ID_05C1F039",1)</f>
        <v/>
      </c>
    </row>
    <row r="23">
      <c r="A23" t="n">
        <v>54</v>
      </c>
      <c r="B23" s="1" t="n">
        <v>46091</v>
      </c>
      <c r="C23" t="inlineStr">
        <is>
          <t>采购部</t>
        </is>
      </c>
      <c r="D23" t="inlineStr">
        <is>
          <t>供应商0013货款</t>
        </is>
      </c>
      <c r="E23" t="inlineStr">
        <is>
          <t>0338</t>
        </is>
      </c>
      <c r="F23" t="inlineStr">
        <is>
          <t>销售费用</t>
        </is>
      </c>
      <c r="G23" t="inlineStr">
        <is>
          <t>侵权赔偿</t>
        </is>
      </c>
      <c r="H23" t="n">
        <v>19412.03</v>
      </c>
      <c r="I23" t="inlineStr">
        <is>
          <t>公户支付</t>
        </is>
      </c>
      <c r="J23">
        <f>DISPIMG("ID_03FE4B9B",1)</f>
        <v/>
      </c>
    </row>
    <row r="24">
      <c r="A24" t="n">
        <v>55</v>
      </c>
      <c r="B24" s="1" t="n">
        <v>46134</v>
      </c>
      <c r="C24" t="inlineStr">
        <is>
          <t>采购部</t>
        </is>
      </c>
      <c r="D24" t="inlineStr">
        <is>
          <t>供应商0041货款</t>
        </is>
      </c>
      <c r="F24" t="inlineStr">
        <is>
          <t>应付账款</t>
        </is>
      </c>
      <c r="G24" t="inlineStr">
        <is>
          <t>月结货款</t>
        </is>
      </c>
      <c r="H24" t="n">
        <v>74223.44</v>
      </c>
      <c r="I24" t="inlineStr">
        <is>
          <t>夏总-创飞支付</t>
        </is>
      </c>
      <c r="J24">
        <f>DISPIMG("ID_04E68A9C",1)</f>
        <v/>
      </c>
    </row>
    <row r="25">
      <c r="A25" t="n">
        <v>56</v>
      </c>
      <c r="B25" s="1" t="n">
        <v>46096</v>
      </c>
      <c r="C25" t="inlineStr">
        <is>
          <t>行政部</t>
        </is>
      </c>
      <c r="D25" t="inlineStr">
        <is>
          <t>供应商0043货款</t>
        </is>
      </c>
      <c r="F25" t="inlineStr">
        <is>
          <t>管理费用</t>
        </is>
      </c>
      <c r="G25" t="inlineStr">
        <is>
          <t>办公费</t>
        </is>
      </c>
      <c r="H25" t="n">
        <v>63050.08</v>
      </c>
      <c r="I25" t="inlineStr">
        <is>
          <t>公户支付</t>
        </is>
      </c>
      <c r="J25">
        <f>DISPIMG("ID_01D0FDCD",1)</f>
        <v/>
      </c>
    </row>
    <row r="26">
      <c r="A26" t="n">
        <v>57</v>
      </c>
      <c r="B26" s="1" t="n">
        <v>46130</v>
      </c>
      <c r="C26" t="inlineStr">
        <is>
          <t>采购部</t>
        </is>
      </c>
      <c r="D26" t="inlineStr">
        <is>
          <t>供应商0092货款</t>
        </is>
      </c>
      <c r="E26" t="inlineStr">
        <is>
          <t>0610</t>
        </is>
      </c>
      <c r="F26" t="inlineStr">
        <is>
          <t>管理费用</t>
        </is>
      </c>
      <c r="G26" t="inlineStr">
        <is>
          <t>办公费</t>
        </is>
      </c>
      <c r="H26" t="n">
        <v>72130.82000000001</v>
      </c>
      <c r="I26" t="inlineStr">
        <is>
          <t>夏总-创飞支付</t>
        </is>
      </c>
    </row>
    <row r="27">
      <c r="A27" t="n">
        <v>58</v>
      </c>
      <c r="B27" s="1" t="n">
        <v>46111</v>
      </c>
      <c r="C27" t="inlineStr">
        <is>
          <t>采购部</t>
        </is>
      </c>
      <c r="D27" t="inlineStr">
        <is>
          <t>供应商0003货款</t>
        </is>
      </c>
      <c r="E27" t="inlineStr">
        <is>
          <t>0238</t>
        </is>
      </c>
      <c r="F27" t="inlineStr">
        <is>
          <t>销售费用</t>
        </is>
      </c>
      <c r="G27" t="inlineStr">
        <is>
          <t>侵权赔偿</t>
        </is>
      </c>
      <c r="H27" t="n">
        <v>31237.73</v>
      </c>
      <c r="I27" t="inlineStr">
        <is>
          <t>夏总-创飞支付</t>
        </is>
      </c>
      <c r="J27">
        <f>DISPIMG("ID_025BEA9E",1)</f>
        <v/>
      </c>
    </row>
    <row r="28">
      <c r="A28" t="n">
        <v>59</v>
      </c>
      <c r="B28" s="1" t="n">
        <v>46112</v>
      </c>
      <c r="C28" t="inlineStr">
        <is>
          <t>采购部</t>
        </is>
      </c>
      <c r="D28" t="inlineStr">
        <is>
          <t>供应商0105货款</t>
        </is>
      </c>
      <c r="E28" t="inlineStr">
        <is>
          <t>0225</t>
        </is>
      </c>
      <c r="F28" t="inlineStr">
        <is>
          <t>应付账款</t>
        </is>
      </c>
      <c r="G28" t="inlineStr">
        <is>
          <t>月结货款</t>
        </is>
      </c>
      <c r="H28" t="n">
        <v>19572.46</v>
      </c>
      <c r="I28" t="inlineStr">
        <is>
          <t>陈总支付</t>
        </is>
      </c>
      <c r="J28">
        <f>DISPIMG("ID_0380D77F",1)</f>
        <v/>
      </c>
    </row>
    <row r="29">
      <c r="A29" t="n">
        <v>60</v>
      </c>
      <c r="B29" s="1" t="n">
        <v>46090</v>
      </c>
      <c r="C29" t="inlineStr">
        <is>
          <t>行政部</t>
        </is>
      </c>
      <c r="D29" t="inlineStr">
        <is>
          <t>供应商0116货款</t>
        </is>
      </c>
      <c r="E29" t="inlineStr">
        <is>
          <t>0168</t>
        </is>
      </c>
      <c r="F29" t="inlineStr">
        <is>
          <t>应付账款</t>
        </is>
      </c>
      <c r="G29" t="inlineStr">
        <is>
          <t>现结货款</t>
        </is>
      </c>
      <c r="H29" t="n">
        <v>97097.41</v>
      </c>
      <c r="I29" t="inlineStr">
        <is>
          <t>夏总-创飞支付</t>
        </is>
      </c>
      <c r="J29">
        <f>DISPIMG("ID_00CC7D68",1)</f>
        <v/>
      </c>
    </row>
    <row r="30">
      <c r="A30" t="n">
        <v>61</v>
      </c>
      <c r="B30" s="1" t="n">
        <v>46095</v>
      </c>
      <c r="C30" t="inlineStr">
        <is>
          <t>运营部</t>
        </is>
      </c>
      <c r="D30" t="inlineStr">
        <is>
          <t>供应商0150货款</t>
        </is>
      </c>
      <c r="F30" t="inlineStr">
        <is>
          <t>管理费用</t>
        </is>
      </c>
      <c r="G30" t="inlineStr">
        <is>
          <t>办公费</t>
        </is>
      </c>
      <c r="H30" t="n">
        <v>12490.66</v>
      </c>
      <c r="I30" t="inlineStr">
        <is>
          <t>公户支付</t>
        </is>
      </c>
    </row>
    <row r="31">
      <c r="A31" t="n">
        <v>62</v>
      </c>
      <c r="B31" s="1" t="n">
        <v>46118</v>
      </c>
      <c r="C31" t="inlineStr">
        <is>
          <t>运营部</t>
        </is>
      </c>
      <c r="D31" t="inlineStr">
        <is>
          <t>供应商0181货款</t>
        </is>
      </c>
      <c r="F31" t="inlineStr">
        <is>
          <t>管理费用</t>
        </is>
      </c>
      <c r="G31" t="inlineStr">
        <is>
          <t>办公费</t>
        </is>
      </c>
      <c r="H31" t="n">
        <v>25466.08</v>
      </c>
      <c r="I31" t="inlineStr">
        <is>
          <t>公户支付</t>
        </is>
      </c>
    </row>
    <row r="32">
      <c r="A32" t="n">
        <v>63</v>
      </c>
      <c r="B32" s="1" t="n">
        <v>46141</v>
      </c>
      <c r="C32" t="inlineStr">
        <is>
          <t>财务部</t>
        </is>
      </c>
      <c r="D32" t="inlineStr">
        <is>
          <t>供应商0048货款</t>
        </is>
      </c>
      <c r="F32" t="inlineStr">
        <is>
          <t>销售费用</t>
        </is>
      </c>
      <c r="G32" t="inlineStr">
        <is>
          <t>侵权赔偿</t>
        </is>
      </c>
      <c r="H32" t="n">
        <v>87895.66</v>
      </c>
      <c r="I32" t="inlineStr">
        <is>
          <t>陈总支付</t>
        </is>
      </c>
    </row>
    <row r="33">
      <c r="A33" t="n">
        <v>64</v>
      </c>
      <c r="B33" s="1" t="n">
        <v>46137</v>
      </c>
      <c r="C33" t="inlineStr">
        <is>
          <t>运营部</t>
        </is>
      </c>
      <c r="D33" t="inlineStr">
        <is>
          <t>供应商0178货款</t>
        </is>
      </c>
      <c r="F33" t="inlineStr">
        <is>
          <t>管理费用</t>
        </is>
      </c>
      <c r="G33" t="inlineStr">
        <is>
          <t>办公费</t>
        </is>
      </c>
      <c r="H33" t="n">
        <v>7208.8</v>
      </c>
      <c r="I33" t="inlineStr">
        <is>
          <t>陈总支付</t>
        </is>
      </c>
    </row>
    <row r="34">
      <c r="A34" t="n">
        <v>65</v>
      </c>
      <c r="B34" s="1" t="n">
        <v>46091</v>
      </c>
      <c r="C34" t="inlineStr">
        <is>
          <t>采购部</t>
        </is>
      </c>
      <c r="D34" t="inlineStr">
        <is>
          <t>供应商0150货款</t>
        </is>
      </c>
      <c r="E34" t="inlineStr">
        <is>
          <t>0505</t>
        </is>
      </c>
      <c r="F34" t="inlineStr">
        <is>
          <t>应付账款</t>
        </is>
      </c>
      <c r="G34" t="inlineStr">
        <is>
          <t>月结货款</t>
        </is>
      </c>
      <c r="H34" t="n">
        <v>73762.49000000001</v>
      </c>
      <c r="I34" t="inlineStr">
        <is>
          <t>夏总-创飞支付</t>
        </is>
      </c>
      <c r="J34">
        <f>DISPIMG("ID_057FE8A5",1)</f>
        <v/>
      </c>
    </row>
    <row r="35">
      <c r="A35" t="n">
        <v>66</v>
      </c>
      <c r="B35" s="1" t="n">
        <v>46139</v>
      </c>
      <c r="C35" t="inlineStr">
        <is>
          <t>仓储部</t>
        </is>
      </c>
      <c r="D35" t="inlineStr">
        <is>
          <t>供应商0082货款</t>
        </is>
      </c>
      <c r="F35" t="inlineStr">
        <is>
          <t>销售费用</t>
        </is>
      </c>
      <c r="G35" t="inlineStr">
        <is>
          <t>侵权赔偿</t>
        </is>
      </c>
      <c r="H35" t="n">
        <v>88738.03</v>
      </c>
      <c r="I35" t="inlineStr">
        <is>
          <t>公户支付</t>
        </is>
      </c>
      <c r="J35">
        <f>DISPIMG("ID_047978AC",1)</f>
        <v/>
      </c>
    </row>
    <row r="36">
      <c r="A36" t="n">
        <v>67</v>
      </c>
      <c r="B36" s="1" t="n">
        <v>46142</v>
      </c>
      <c r="C36" t="inlineStr">
        <is>
          <t>采购部</t>
        </is>
      </c>
      <c r="D36" t="inlineStr">
        <is>
          <t>供应商0104货款</t>
        </is>
      </c>
      <c r="E36" t="inlineStr">
        <is>
          <t>0450</t>
        </is>
      </c>
      <c r="F36" t="inlineStr">
        <is>
          <t>应付账款</t>
        </is>
      </c>
      <c r="G36" t="inlineStr">
        <is>
          <t>现结货款</t>
        </is>
      </c>
      <c r="H36" t="n">
        <v>43851.29</v>
      </c>
      <c r="I36" t="inlineStr">
        <is>
          <t>公户支付</t>
        </is>
      </c>
      <c r="J36">
        <f>DISPIMG("ID_02A0AB40",1)</f>
        <v/>
      </c>
    </row>
    <row r="37">
      <c r="A37" t="n">
        <v>68</v>
      </c>
      <c r="B37" s="1" t="n">
        <v>46142</v>
      </c>
      <c r="C37" t="inlineStr">
        <is>
          <t>采购部</t>
        </is>
      </c>
      <c r="D37" t="inlineStr">
        <is>
          <t>供应商0103货款</t>
        </is>
      </c>
      <c r="E37" t="inlineStr">
        <is>
          <t>0464</t>
        </is>
      </c>
      <c r="F37" t="inlineStr">
        <is>
          <t>管理费用</t>
        </is>
      </c>
      <c r="G37" t="inlineStr">
        <is>
          <t>办公费</t>
        </is>
      </c>
      <c r="H37" t="n">
        <v>38468.13</v>
      </c>
      <c r="I37" t="inlineStr">
        <is>
          <t>吴总支付</t>
        </is>
      </c>
    </row>
    <row r="38">
      <c r="A38" t="n">
        <v>69</v>
      </c>
      <c r="B38" s="1" t="n">
        <v>46110</v>
      </c>
      <c r="C38" t="inlineStr">
        <is>
          <t>采购部</t>
        </is>
      </c>
      <c r="D38" t="inlineStr">
        <is>
          <t>供应商0024货款</t>
        </is>
      </c>
      <c r="F38" t="inlineStr">
        <is>
          <t>应付账款</t>
        </is>
      </c>
      <c r="G38" t="inlineStr">
        <is>
          <t>现结货款</t>
        </is>
      </c>
      <c r="H38" t="n">
        <v>81221.03999999999</v>
      </c>
      <c r="I38" t="inlineStr">
        <is>
          <t>公户支付</t>
        </is>
      </c>
      <c r="J38">
        <f>DISPIMG("ID_058E90E6",1)</f>
        <v/>
      </c>
    </row>
    <row r="39">
      <c r="A39" t="n">
        <v>70</v>
      </c>
      <c r="B39" s="1" t="n">
        <v>46087</v>
      </c>
      <c r="C39" t="inlineStr">
        <is>
          <t>仓储部</t>
        </is>
      </c>
      <c r="D39" t="inlineStr">
        <is>
          <t>供应商0044货款</t>
        </is>
      </c>
      <c r="F39" t="inlineStr">
        <is>
          <t>应付账款</t>
        </is>
      </c>
      <c r="G39" t="inlineStr">
        <is>
          <t>现结货款</t>
        </is>
      </c>
      <c r="H39" t="n">
        <v>43353.5</v>
      </c>
      <c r="I39" t="inlineStr">
        <is>
          <t>吴总支付</t>
        </is>
      </c>
      <c r="J39">
        <f>DISPIMG("ID_01B93D31",1)</f>
        <v/>
      </c>
    </row>
    <row r="40">
      <c r="A40" t="n">
        <v>71</v>
      </c>
      <c r="B40" s="1" t="n">
        <v>46113</v>
      </c>
      <c r="C40" t="inlineStr">
        <is>
          <t>运营部</t>
        </is>
      </c>
      <c r="D40" t="inlineStr">
        <is>
          <t>供应商0162货款</t>
        </is>
      </c>
      <c r="F40" t="inlineStr">
        <is>
          <t>应付账款</t>
        </is>
      </c>
      <c r="G40" t="inlineStr">
        <is>
          <t>月结货款</t>
        </is>
      </c>
      <c r="H40" t="n">
        <v>61351.2</v>
      </c>
      <c r="I40" t="inlineStr">
        <is>
          <t>吴总支付</t>
        </is>
      </c>
    </row>
    <row r="41">
      <c r="A41" t="n">
        <v>72</v>
      </c>
      <c r="B41" s="1" t="n">
        <v>46124</v>
      </c>
      <c r="C41" t="inlineStr">
        <is>
          <t>财务部</t>
        </is>
      </c>
      <c r="D41" t="inlineStr">
        <is>
          <t>供应商0047货款</t>
        </is>
      </c>
      <c r="E41" t="inlineStr">
        <is>
          <t>0951</t>
        </is>
      </c>
      <c r="F41" t="inlineStr">
        <is>
          <t>销售费用</t>
        </is>
      </c>
      <c r="G41" t="inlineStr">
        <is>
          <t>侵权赔偿</t>
        </is>
      </c>
      <c r="H41" t="n">
        <v>12214.93</v>
      </c>
      <c r="I41" t="inlineStr">
        <is>
          <t>公户支付</t>
        </is>
      </c>
      <c r="J41">
        <f>DISPIMG("ID_02A29AF0",1)</f>
        <v/>
      </c>
    </row>
    <row r="42">
      <c r="A42" t="n">
        <v>73</v>
      </c>
      <c r="B42" s="1" t="n">
        <v>46142</v>
      </c>
      <c r="C42" t="inlineStr">
        <is>
          <t>财务部</t>
        </is>
      </c>
      <c r="D42" t="inlineStr">
        <is>
          <t>供应商0123货款</t>
        </is>
      </c>
      <c r="E42" t="inlineStr">
        <is>
          <t>0386</t>
        </is>
      </c>
      <c r="F42" t="inlineStr">
        <is>
          <t>应付账款</t>
        </is>
      </c>
      <c r="G42" t="inlineStr">
        <is>
          <t>月结货款</t>
        </is>
      </c>
      <c r="H42" t="n">
        <v>99107.08</v>
      </c>
      <c r="I42" t="inlineStr">
        <is>
          <t>公户支付</t>
        </is>
      </c>
      <c r="J42">
        <f>DISPIMG("ID_030DDBCC",1)</f>
        <v/>
      </c>
    </row>
    <row r="43">
      <c r="A43" t="n">
        <v>74</v>
      </c>
      <c r="B43" s="1" t="n">
        <v>46130</v>
      </c>
      <c r="C43" t="inlineStr">
        <is>
          <t>采购部</t>
        </is>
      </c>
      <c r="D43" t="inlineStr">
        <is>
          <t>供应商0163货款</t>
        </is>
      </c>
      <c r="E43" t="inlineStr">
        <is>
          <t>0471</t>
        </is>
      </c>
      <c r="F43" t="inlineStr">
        <is>
          <t>销售费用</t>
        </is>
      </c>
      <c r="G43" t="inlineStr">
        <is>
          <t>侵权赔偿</t>
        </is>
      </c>
      <c r="H43" t="n">
        <v>85239.12</v>
      </c>
      <c r="I43" t="inlineStr">
        <is>
          <t>公户支付</t>
        </is>
      </c>
    </row>
    <row r="44">
      <c r="A44" t="n">
        <v>75</v>
      </c>
      <c r="B44" s="1" t="n">
        <v>46100</v>
      </c>
      <c r="C44" t="inlineStr">
        <is>
          <t>仓储部</t>
        </is>
      </c>
      <c r="D44" t="inlineStr">
        <is>
          <t>供应商0059货款</t>
        </is>
      </c>
      <c r="F44" t="inlineStr">
        <is>
          <t>应付账款</t>
        </is>
      </c>
      <c r="G44" t="inlineStr">
        <is>
          <t>月结货款</t>
        </is>
      </c>
      <c r="H44" t="n">
        <v>53324.71</v>
      </c>
      <c r="I44" t="inlineStr">
        <is>
          <t>吴总支付</t>
        </is>
      </c>
      <c r="J44">
        <f>DISPIMG("ID_03C31D7A",1)</f>
        <v/>
      </c>
    </row>
    <row r="45">
      <c r="A45" t="n">
        <v>76</v>
      </c>
      <c r="B45" s="1" t="n">
        <v>46138</v>
      </c>
      <c r="C45" t="inlineStr">
        <is>
          <t>行政部</t>
        </is>
      </c>
      <c r="D45" t="inlineStr">
        <is>
          <t>供应商0187货款</t>
        </is>
      </c>
      <c r="E45" t="inlineStr">
        <is>
          <t>0821</t>
        </is>
      </c>
      <c r="F45" t="inlineStr">
        <is>
          <t>销售费用</t>
        </is>
      </c>
      <c r="G45" t="inlineStr">
        <is>
          <t>侵权赔偿</t>
        </is>
      </c>
      <c r="H45" t="n">
        <v>19088.88</v>
      </c>
      <c r="I45" t="inlineStr">
        <is>
          <t>吴总支付</t>
        </is>
      </c>
      <c r="J45">
        <f>DISPIMG("ID_05A650DE",1)</f>
        <v/>
      </c>
    </row>
    <row r="46">
      <c r="A46" t="n">
        <v>77</v>
      </c>
      <c r="B46" s="1" t="n">
        <v>46106</v>
      </c>
      <c r="C46" t="inlineStr">
        <is>
          <t>采购部</t>
        </is>
      </c>
      <c r="D46" t="inlineStr">
        <is>
          <t>供应商0049货款</t>
        </is>
      </c>
      <c r="E46" t="inlineStr">
        <is>
          <t>0296</t>
        </is>
      </c>
      <c r="F46" t="inlineStr">
        <is>
          <t>销售费用</t>
        </is>
      </c>
      <c r="G46" t="inlineStr">
        <is>
          <t>侵权赔偿</t>
        </is>
      </c>
      <c r="H46" t="n">
        <v>79102.00999999999</v>
      </c>
      <c r="I46" t="inlineStr">
        <is>
          <t>陈总支付</t>
        </is>
      </c>
      <c r="J46">
        <f>DISPIMG("ID_02E1B31A",1)</f>
        <v/>
      </c>
    </row>
    <row r="47">
      <c r="A47" t="n">
        <v>78</v>
      </c>
      <c r="B47" s="1" t="n">
        <v>46086</v>
      </c>
      <c r="C47" t="inlineStr">
        <is>
          <t>财务部</t>
        </is>
      </c>
      <c r="D47" t="inlineStr">
        <is>
          <t>供应商0052货款</t>
        </is>
      </c>
      <c r="E47" t="inlineStr">
        <is>
          <t>0299</t>
        </is>
      </c>
      <c r="F47" t="inlineStr">
        <is>
          <t>管理费用</t>
        </is>
      </c>
      <c r="G47" t="inlineStr">
        <is>
          <t>办公费</t>
        </is>
      </c>
      <c r="H47" t="n">
        <v>47048.95</v>
      </c>
      <c r="I47" t="inlineStr">
        <is>
          <t>公户支付</t>
        </is>
      </c>
    </row>
    <row r="48">
      <c r="A48" t="n">
        <v>79</v>
      </c>
      <c r="B48" s="1" t="n">
        <v>46134</v>
      </c>
      <c r="C48" t="inlineStr">
        <is>
          <t>财务部</t>
        </is>
      </c>
      <c r="D48" t="inlineStr">
        <is>
          <t>供应商0054货款</t>
        </is>
      </c>
      <c r="F48" t="inlineStr">
        <is>
          <t>应付账款</t>
        </is>
      </c>
      <c r="G48" t="inlineStr">
        <is>
          <t>月结货款</t>
        </is>
      </c>
      <c r="H48" t="n">
        <v>25564.55</v>
      </c>
      <c r="I48" t="inlineStr">
        <is>
          <t>公户支付</t>
        </is>
      </c>
      <c r="J48">
        <f>DISPIMG("ID_01FC47F9",1)</f>
        <v/>
      </c>
    </row>
    <row r="49">
      <c r="A49" t="n">
        <v>80</v>
      </c>
      <c r="B49" s="1" t="n">
        <v>46091</v>
      </c>
      <c r="C49" t="inlineStr">
        <is>
          <t>运营部</t>
        </is>
      </c>
      <c r="D49" t="inlineStr">
        <is>
          <t>供应商0033货款</t>
        </is>
      </c>
      <c r="F49" t="inlineStr">
        <is>
          <t>应付账款</t>
        </is>
      </c>
      <c r="G49" t="inlineStr">
        <is>
          <t>月结货款</t>
        </is>
      </c>
      <c r="H49" t="n">
        <v>41971.76</v>
      </c>
      <c r="I49" t="inlineStr">
        <is>
          <t>陈总支付</t>
        </is>
      </c>
      <c r="J49">
        <f>DISPIMG("ID_0525E2FF",1)</f>
        <v/>
      </c>
    </row>
    <row r="50">
      <c r="A50" t="n">
        <v>81</v>
      </c>
      <c r="B50" s="1" t="n">
        <v>46140</v>
      </c>
      <c r="C50" t="inlineStr">
        <is>
          <t>运营部</t>
        </is>
      </c>
      <c r="D50" t="inlineStr">
        <is>
          <t>供应商0144货款</t>
        </is>
      </c>
      <c r="E50" t="inlineStr">
        <is>
          <t>0122</t>
        </is>
      </c>
      <c r="F50" t="inlineStr">
        <is>
          <t>销售费用</t>
        </is>
      </c>
      <c r="G50" t="inlineStr">
        <is>
          <t>侵权赔偿</t>
        </is>
      </c>
      <c r="H50" t="n">
        <v>54387.82</v>
      </c>
      <c r="I50" t="inlineStr">
        <is>
          <t>吴总支付</t>
        </is>
      </c>
    </row>
    <row r="51">
      <c r="A51" t="n">
        <v>82</v>
      </c>
      <c r="B51" s="1" t="n">
        <v>46140</v>
      </c>
      <c r="C51" t="inlineStr">
        <is>
          <t>行政部</t>
        </is>
      </c>
      <c r="D51" t="inlineStr">
        <is>
          <t>供应商0131货款</t>
        </is>
      </c>
      <c r="E51" t="inlineStr">
        <is>
          <t>0246</t>
        </is>
      </c>
      <c r="F51" t="inlineStr">
        <is>
          <t>应付账款</t>
        </is>
      </c>
      <c r="G51" t="inlineStr">
        <is>
          <t>月结货款</t>
        </is>
      </c>
      <c r="H51" t="n">
        <v>25125.21</v>
      </c>
      <c r="I51" t="inlineStr">
        <is>
          <t>陈总支付</t>
        </is>
      </c>
    </row>
    <row r="52">
      <c r="A52" t="n">
        <v>83</v>
      </c>
      <c r="B52" s="1" t="n">
        <v>46112</v>
      </c>
      <c r="C52" t="inlineStr">
        <is>
          <t>采购部</t>
        </is>
      </c>
      <c r="D52" t="inlineStr">
        <is>
          <t>供应商0145货款</t>
        </is>
      </c>
      <c r="F52" t="inlineStr">
        <is>
          <t>管理费用</t>
        </is>
      </c>
      <c r="G52" t="inlineStr">
        <is>
          <t>办公费</t>
        </is>
      </c>
      <c r="H52" t="n">
        <v>74152.75</v>
      </c>
      <c r="I52" t="inlineStr">
        <is>
          <t>陈总支付</t>
        </is>
      </c>
      <c r="J52">
        <f>DISPIMG("ID_0250F9EB",1)</f>
        <v/>
      </c>
    </row>
    <row r="53">
      <c r="A53" t="n">
        <v>84</v>
      </c>
      <c r="B53" s="1" t="n">
        <v>46092</v>
      </c>
      <c r="C53" t="inlineStr">
        <is>
          <t>运营部</t>
        </is>
      </c>
      <c r="D53" t="inlineStr">
        <is>
          <t>供应商0110货款</t>
        </is>
      </c>
      <c r="E53" t="inlineStr">
        <is>
          <t>0631</t>
        </is>
      </c>
      <c r="F53" t="inlineStr">
        <is>
          <t>销售费用</t>
        </is>
      </c>
      <c r="G53" t="inlineStr">
        <is>
          <t>侵权赔偿</t>
        </is>
      </c>
      <c r="H53" t="n">
        <v>13543.25</v>
      </c>
      <c r="I53" t="inlineStr">
        <is>
          <t>公户支付</t>
        </is>
      </c>
      <c r="J53">
        <f>DISPIMG("ID_00F7AFD8",1)</f>
        <v/>
      </c>
    </row>
    <row r="54">
      <c r="A54" t="n">
        <v>85</v>
      </c>
      <c r="B54" s="1" t="n">
        <v>46138</v>
      </c>
      <c r="C54" t="inlineStr">
        <is>
          <t>财务部</t>
        </is>
      </c>
      <c r="D54" t="inlineStr">
        <is>
          <t>供应商0117货款</t>
        </is>
      </c>
      <c r="E54" t="inlineStr">
        <is>
          <t>0876</t>
        </is>
      </c>
      <c r="F54" t="inlineStr">
        <is>
          <t>管理费用</t>
        </is>
      </c>
      <c r="G54" t="inlineStr">
        <is>
          <t>办公费</t>
        </is>
      </c>
      <c r="H54" t="n">
        <v>56738.41</v>
      </c>
      <c r="I54" t="inlineStr">
        <is>
          <t>吴总支付</t>
        </is>
      </c>
    </row>
    <row r="55">
      <c r="A55" t="n">
        <v>86</v>
      </c>
      <c r="B55" s="1" t="n">
        <v>46083</v>
      </c>
      <c r="C55" t="inlineStr">
        <is>
          <t>运营部</t>
        </is>
      </c>
      <c r="D55" t="inlineStr">
        <is>
          <t>供应商0149货款</t>
        </is>
      </c>
      <c r="E55" t="inlineStr">
        <is>
          <t>0912</t>
        </is>
      </c>
      <c r="F55" t="inlineStr">
        <is>
          <t>应付账款</t>
        </is>
      </c>
      <c r="G55" t="inlineStr">
        <is>
          <t>现结货款</t>
        </is>
      </c>
      <c r="H55" t="n">
        <v>706.65</v>
      </c>
      <c r="I55" t="inlineStr">
        <is>
          <t>陈总支付</t>
        </is>
      </c>
      <c r="J55">
        <f>DISPIMG("ID_01378D07",1)</f>
        <v/>
      </c>
    </row>
    <row r="56">
      <c r="A56" t="n">
        <v>87</v>
      </c>
      <c r="B56" s="1" t="n">
        <v>46136</v>
      </c>
      <c r="C56" t="inlineStr">
        <is>
          <t>运营部</t>
        </is>
      </c>
      <c r="D56" t="inlineStr">
        <is>
          <t>供应商0197货款</t>
        </is>
      </c>
      <c r="E56" t="inlineStr">
        <is>
          <t>0410</t>
        </is>
      </c>
      <c r="F56" t="inlineStr">
        <is>
          <t>应付账款</t>
        </is>
      </c>
      <c r="G56" t="inlineStr">
        <is>
          <t>现结货款</t>
        </is>
      </c>
      <c r="H56" t="n">
        <v>49263.08</v>
      </c>
      <c r="I56" t="inlineStr">
        <is>
          <t>夏总-创飞支付</t>
        </is>
      </c>
      <c r="J56">
        <f>DISPIMG("ID_02347DA4",1)</f>
        <v/>
      </c>
    </row>
    <row r="57">
      <c r="A57" t="n">
        <v>88</v>
      </c>
      <c r="B57" s="1" t="n">
        <v>46104</v>
      </c>
      <c r="C57" t="inlineStr">
        <is>
          <t>仓储部</t>
        </is>
      </c>
      <c r="D57" t="inlineStr">
        <is>
          <t>供应商0149货款</t>
        </is>
      </c>
      <c r="E57" t="inlineStr">
        <is>
          <t>0726</t>
        </is>
      </c>
      <c r="F57" t="inlineStr">
        <is>
          <t>应付账款</t>
        </is>
      </c>
      <c r="G57" t="inlineStr">
        <is>
          <t>现结货款</t>
        </is>
      </c>
      <c r="H57" t="n">
        <v>74757.92999999999</v>
      </c>
      <c r="I57" t="inlineStr">
        <is>
          <t>公户支付</t>
        </is>
      </c>
      <c r="J57">
        <f>DISPIMG("ID_02C149FA",1)</f>
        <v/>
      </c>
    </row>
    <row r="58">
      <c r="A58" t="n">
        <v>89</v>
      </c>
      <c r="B58" s="1" t="n">
        <v>46135</v>
      </c>
      <c r="C58" t="inlineStr">
        <is>
          <t>仓储部</t>
        </is>
      </c>
      <c r="D58" t="inlineStr">
        <is>
          <t>供应商0095货款</t>
        </is>
      </c>
      <c r="F58" t="inlineStr">
        <is>
          <t>应付账款</t>
        </is>
      </c>
      <c r="G58" t="inlineStr">
        <is>
          <t>现结货款</t>
        </is>
      </c>
      <c r="H58" t="n">
        <v>7532.98</v>
      </c>
      <c r="I58" t="inlineStr">
        <is>
          <t>公户支付</t>
        </is>
      </c>
      <c r="J58">
        <f>DISPIMG("ID_04C400A2",1)</f>
        <v/>
      </c>
    </row>
    <row r="59">
      <c r="A59" t="n">
        <v>90</v>
      </c>
      <c r="B59" s="1" t="n">
        <v>46087</v>
      </c>
      <c r="C59" t="inlineStr">
        <is>
          <t>仓储部</t>
        </is>
      </c>
      <c r="D59" t="inlineStr">
        <is>
          <t>供应商0193货款</t>
        </is>
      </c>
      <c r="F59" t="inlineStr">
        <is>
          <t>应付账款</t>
        </is>
      </c>
      <c r="G59" t="inlineStr">
        <is>
          <t>现结货款</t>
        </is>
      </c>
      <c r="H59" t="n">
        <v>32893.29</v>
      </c>
      <c r="I59" t="inlineStr">
        <is>
          <t>公户支付</t>
        </is>
      </c>
      <c r="J59">
        <f>DISPIMG("ID_02088F3E",1)</f>
        <v/>
      </c>
    </row>
    <row r="60">
      <c r="A60" t="n">
        <v>91</v>
      </c>
      <c r="B60" s="1" t="n">
        <v>46110</v>
      </c>
      <c r="C60" t="inlineStr">
        <is>
          <t>行政部</t>
        </is>
      </c>
      <c r="D60" t="inlineStr">
        <is>
          <t>供应商0073货款</t>
        </is>
      </c>
      <c r="F60" t="inlineStr">
        <is>
          <t>销售费用</t>
        </is>
      </c>
      <c r="G60" t="inlineStr">
        <is>
          <t>侵权赔偿</t>
        </is>
      </c>
      <c r="H60" t="n">
        <v>42878.75</v>
      </c>
      <c r="I60" t="inlineStr">
        <is>
          <t>夏总-创飞支付</t>
        </is>
      </c>
      <c r="J60">
        <f>DISPIMG("ID_05D078DA",1)</f>
        <v/>
      </c>
    </row>
    <row r="61">
      <c r="A61" t="n">
        <v>92</v>
      </c>
      <c r="B61" s="1" t="n">
        <v>46095</v>
      </c>
      <c r="C61" t="inlineStr">
        <is>
          <t>行政部</t>
        </is>
      </c>
      <c r="D61" t="inlineStr">
        <is>
          <t>供应商0151货款</t>
        </is>
      </c>
      <c r="F61" t="inlineStr">
        <is>
          <t>应付账款</t>
        </is>
      </c>
      <c r="G61" t="inlineStr">
        <is>
          <t>月结货款</t>
        </is>
      </c>
      <c r="H61" t="n">
        <v>16898.84</v>
      </c>
      <c r="I61" t="inlineStr">
        <is>
          <t>陈总支付</t>
        </is>
      </c>
    </row>
    <row r="62">
      <c r="A62" t="n">
        <v>93</v>
      </c>
      <c r="B62" s="1" t="n">
        <v>46112</v>
      </c>
      <c r="C62" t="inlineStr">
        <is>
          <t>采购部</t>
        </is>
      </c>
      <c r="D62" t="inlineStr">
        <is>
          <t>供应商0077货款</t>
        </is>
      </c>
      <c r="E62" t="inlineStr">
        <is>
          <t>0874</t>
        </is>
      </c>
      <c r="F62" t="inlineStr">
        <is>
          <t>管理费用</t>
        </is>
      </c>
      <c r="G62" t="inlineStr">
        <is>
          <t>办公费</t>
        </is>
      </c>
      <c r="H62" t="n">
        <v>35181.72</v>
      </c>
      <c r="I62" t="inlineStr">
        <is>
          <t>陈总支付</t>
        </is>
      </c>
      <c r="J62">
        <f>DISPIMG("ID_01880655",1)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